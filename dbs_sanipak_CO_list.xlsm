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BuÇalışmaKitabı" defaultThemeVersion="202300"/>
  <mc:AlternateContent xmlns:mc="http://schemas.openxmlformats.org/markup-compatibility/2006">
    <mc:Choice Requires="x15">
      <x15ac:absPath xmlns:x15ac="http://schemas.microsoft.com/office/spreadsheetml/2010/11/ac" url="C:\Users\dbs00\Downloads\deniz_vsc\"/>
    </mc:Choice>
  </mc:AlternateContent>
  <xr:revisionPtr revIDLastSave="0" documentId="13_ncr:1_{E3BFD10E-7685-469D-B6EC-4DFD1C7956F5}" xr6:coauthVersionLast="47" xr6:coauthVersionMax="47" xr10:uidLastSave="{00000000-0000-0000-0000-000000000000}"/>
  <bookViews>
    <workbookView xWindow="-120" yWindow="-120" windowWidth="29040" windowHeight="17520" xr2:uid="{E50C233D-E2A4-47EF-9771-DA701200EAD2}"/>
  </bookViews>
  <sheets>
    <sheet name="Sayf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I30" i="1" l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</calcChain>
</file>

<file path=xl/sharedStrings.xml><?xml version="1.0" encoding="utf-8"?>
<sst xmlns="http://schemas.openxmlformats.org/spreadsheetml/2006/main" count="126" uniqueCount="76">
  <si>
    <t>NO</t>
  </si>
  <si>
    <t>CO NO</t>
  </si>
  <si>
    <t>TARİH</t>
  </si>
  <si>
    <t>MALZEME (EUR)</t>
  </si>
  <si>
    <t>İŞÇİLİK (TL)</t>
  </si>
  <si>
    <t>KUR (TL/EUR)</t>
  </si>
  <si>
    <t>TOPLAM TUTAR (TL)</t>
  </si>
  <si>
    <t>DİSİPLİN</t>
  </si>
  <si>
    <t>MEKANİK</t>
  </si>
  <si>
    <t>MİMARİ</t>
  </si>
  <si>
    <t>ELEKTRİK</t>
  </si>
  <si>
    <t>Isıtma Soğutma Hattı Yapılması</t>
  </si>
  <si>
    <t xml:space="preserve">Mevcut Santralin Yer Değişimi ve Kanal İmalatı											</t>
  </si>
  <si>
    <t>Mevcut tuvalet duvarları Kutu Profil Güçlendirme</t>
  </si>
  <si>
    <t>Çatı Katı Taşıyıcı olmayan ekipmanların SİSMİK Koruma altına alınması</t>
  </si>
  <si>
    <t>Cam Kapaklı Yangın Dolabı Temini Ve Montajı</t>
  </si>
  <si>
    <t>Tuvalet Cubicle Sistemleri  Temini Ve Montajı</t>
  </si>
  <si>
    <t>4 Borulu Udfc 936 Model Kaset Tipi Fancoil</t>
  </si>
  <si>
    <t>Cephe-Doğrama Birleşim Kapatma Aluminyum Çıta</t>
  </si>
  <si>
    <t>Elektrik Panosu Önüne Telora Kapak Yapılması</t>
  </si>
  <si>
    <t>İlave Mekanik İşleri - 1 (3.Kat - Sığınak - 2.Kat)</t>
  </si>
  <si>
    <t>İlave Mekanik İşleri - 2 (3.Kat - Sığınak - 2.Kat)</t>
  </si>
  <si>
    <t>Laboratuvar İlave İşler</t>
  </si>
  <si>
    <t>Yuvarlak Kanal İzolasyonların Revizyonu</t>
  </si>
  <si>
    <t>Soyunma Odası Revizyon</t>
  </si>
  <si>
    <t>Yemekhane Pik Boru İşleri (Tıkanık borular yerine)</t>
  </si>
  <si>
    <t>Yemekhane İlave Güçlendirme İşleri</t>
  </si>
  <si>
    <t>Çeker Ocak Ve Solvent Kanal Kabin Sonlamaları</t>
  </si>
  <si>
    <t xml:space="preserve">Kaçak Hattı Giderilmesi İçin Yapılacak İşlemler </t>
  </si>
  <si>
    <t>Yemekhane Revizyonları</t>
  </si>
  <si>
    <t>Yemekhane Ek İşler (Pik boru, S.Tesisat, Havalandırma)</t>
  </si>
  <si>
    <t>Yemekahane Katı İlave İşler</t>
  </si>
  <si>
    <t>Soyunma Odası Turnike İşleri</t>
  </si>
  <si>
    <t>Soyunma Odaları Tavan Değişimi  Demontaj-Montaj</t>
  </si>
  <si>
    <t>İlave Motorlu Perde İşi</t>
  </si>
  <si>
    <t>İlave Talep Edilen Elektrik İşleri</t>
  </si>
  <si>
    <t>Kadın Soyunma Turnike Holünün Yerinin Değişimi</t>
  </si>
  <si>
    <t>Soyunma odalarına yeni metal tavan takılması</t>
  </si>
  <si>
    <t>Yapı Aplikasyon Projesi Hazırlanması</t>
  </si>
  <si>
    <t>AÇIKLAMA</t>
  </si>
  <si>
    <t>CO-02</t>
  </si>
  <si>
    <t>CO-03</t>
  </si>
  <si>
    <t>CO-04</t>
  </si>
  <si>
    <t>CO-05</t>
  </si>
  <si>
    <t>CO-06</t>
  </si>
  <si>
    <t>CO-07</t>
  </si>
  <si>
    <t>CO-08</t>
  </si>
  <si>
    <t>CO-09</t>
  </si>
  <si>
    <t>CO-10</t>
  </si>
  <si>
    <t>CO-11</t>
  </si>
  <si>
    <t>CO-12</t>
  </si>
  <si>
    <t>CO-13</t>
  </si>
  <si>
    <t>CO-14</t>
  </si>
  <si>
    <t>CO-15</t>
  </si>
  <si>
    <t>CO-16</t>
  </si>
  <si>
    <t>CO-17</t>
  </si>
  <si>
    <t>CO-18</t>
  </si>
  <si>
    <t>CO-19</t>
  </si>
  <si>
    <t>CO-20</t>
  </si>
  <si>
    <t>CO-21</t>
  </si>
  <si>
    <t>CO-22</t>
  </si>
  <si>
    <t>CO-23</t>
  </si>
  <si>
    <t>CO-24</t>
  </si>
  <si>
    <t>CO-25</t>
  </si>
  <si>
    <t>CO-26</t>
  </si>
  <si>
    <t>CO-27</t>
  </si>
  <si>
    <t>CO-28</t>
  </si>
  <si>
    <t>CO-29</t>
  </si>
  <si>
    <t>CO-01</t>
  </si>
  <si>
    <t>DURUM</t>
  </si>
  <si>
    <t>ONAYLANDI</t>
  </si>
  <si>
    <t>İPTAL EDİLDİ</t>
  </si>
  <si>
    <t>REDDEDİLDİ</t>
  </si>
  <si>
    <t>ŞARTLI ONAYLANDI</t>
  </si>
  <si>
    <t>ONAY BEKLİYOR</t>
  </si>
  <si>
    <t>Gemici Anemostadı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</si>
</sst>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6" x14ac:knownFonts="1">
    <font>
      <sz val="11"/>
      <color theme="1"/>
      <name val="Aptos Narrow"/>
      <family val="2"/>
      <charset val="162"/>
      <scheme val="minor"/>
    </font>
    <font>
      <sz val="12"/>
      <color theme="1"/>
      <name val="Aptos Display"/>
      <family val="2"/>
      <scheme val="major"/>
    </font>
    <font>
      <sz val="12"/>
      <name val="Aptos Display"/>
      <family val="2"/>
      <scheme val="major"/>
    </font>
    <font>
      <sz val="11"/>
      <color theme="1"/>
      <name val="Aptos Display"/>
      <family val="2"/>
      <scheme val="major"/>
    </font>
    <font>
      <sz val="11"/>
      <color rgb="FF000000"/>
      <name val="Aptos Narrow"/>
      <family val="2"/>
    </font>
    <font>
      <sz val="8"/>
      <name val="Aptos Narrow"/>
      <family val="2"/>
      <charset val="16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64" fontId="2" fillId="0" borderId="0" xfId="0" applyNumberFormat="1" applyFont="1" applyAlignment="1">
      <alignment horizontal="center" vertical="center"/>
    </xf>
    <xf numFmtId="4" fontId="1" fillId="0" borderId="0" xfId="0" applyNumberFormat="1" applyFont="1"/>
    <xf numFmtId="0" fontId="1" fillId="2" borderId="0" xfId="0" applyFont="1" applyFill="1"/>
    <xf numFmtId="164" fontId="2" fillId="2" borderId="0" xfId="0" applyNumberFormat="1" applyFont="1" applyFill="1" applyAlignment="1">
      <alignment horizontal="center" vertical="center"/>
    </xf>
    <xf numFmtId="4" fontId="1" fillId="2" borderId="0" xfId="0" applyNumberFormat="1" applyFont="1" applyFill="1"/>
    <xf numFmtId="164" fontId="1" fillId="2" borderId="0" xfId="0" applyNumberFormat="1" applyFont="1" applyFill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409575</xdr:colOff>
          <xdr:row>3</xdr:row>
          <xdr:rowOff>142875</xdr:rowOff>
        </xdr:from>
        <xdr:to>
          <xdr:col>12</xdr:col>
          <xdr:colOff>333375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Aptos Narrow"/>
                </a:rPr>
                <a:t>HTML'e GÖNDER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988F-BD23-4BCB-BBB4-4F0AEA8316CD}">
  <sheetPr codeName="Sayfa1"/>
  <dimension ref="A1:L30"/>
  <sheetViews>
    <sheetView tabSelected="1" workbookViewId="0">
      <selection activeCell="I14" sqref="I14"/>
    </sheetView>
  </sheetViews>
  <sheetFormatPr defaultRowHeight="15.75" x14ac:dyDescent="0.25"/>
  <cols>
    <col min="1" max="1" width="9.42578125" style="8" bestFit="1" customWidth="1"/>
    <col min="2" max="2" width="11.140625" style="10" customWidth="1"/>
    <col min="3" max="3" width="50.5703125" style="1" customWidth="1"/>
    <col min="4" max="4" width="11.140625" style="1" customWidth="1"/>
    <col min="5" max="5" width="13.28515625" style="1" customWidth="1"/>
    <col min="6" max="6" width="16.85546875" style="1" customWidth="1"/>
    <col min="7" max="7" width="17.85546875" style="1" customWidth="1"/>
    <col min="8" max="8" width="13.42578125" style="1" customWidth="1"/>
    <col min="9" max="10" width="21" style="1" customWidth="1"/>
    <col min="11" max="11" width="9.140625" style="1"/>
    <col min="12" max="12" width="13.140625" style="1" bestFit="1" customWidth="1"/>
    <col min="13" max="13" width="9.140625" style="1" customWidth="1"/>
    <col min="14" max="16384" width="9.140625" style="1"/>
  </cols>
  <sheetData>
    <row r="1" spans="1:12" x14ac:dyDescent="0.25">
      <c r="A1" s="8" t="s">
        <v>0</v>
      </c>
      <c r="B1" s="10" t="s">
        <v>1</v>
      </c>
      <c r="C1" s="1" t="s">
        <v>39</v>
      </c>
      <c r="D1" s="1" t="s">
        <v>7</v>
      </c>
      <c r="E1" s="1" t="s">
        <v>2</v>
      </c>
      <c r="F1" s="1" t="s">
        <v>3</v>
      </c>
      <c r="G1" s="1" t="s">
        <v>4</v>
      </c>
      <c r="H1" s="1" t="s">
        <v>5</v>
      </c>
      <c r="I1" s="1" t="s">
        <v>6</v>
      </c>
      <c r="J1" s="1" t="s">
        <v>69</v>
      </c>
    </row>
    <row r="2" spans="1:12" x14ac:dyDescent="0.25">
      <c r="A2" s="8">
        <v>1</v>
      </c>
      <c r="B2" s="10" t="s">
        <v>68</v>
      </c>
      <c r="C2" s="1" t="s">
        <v>11</v>
      </c>
      <c r="D2" s="1" t="s">
        <v>8</v>
      </c>
      <c r="E2" s="2">
        <v>45996</v>
      </c>
      <c r="F2" s="3">
        <v>8503.7999999999993</v>
      </c>
      <c r="G2" s="3">
        <v>933499.18</v>
      </c>
      <c r="H2" s="1">
        <v>50.392299999999999</v>
      </c>
      <c r="I2" s="3">
        <f>ROUND(F2*H2+G2,2)</f>
        <v>1362025.22</v>
      </c>
      <c r="J2" s="3" t="s">
        <v>70</v>
      </c>
      <c r="L2" s="3"/>
    </row>
    <row r="3" spans="1:12" x14ac:dyDescent="0.25">
      <c r="A3" s="9">
        <v>2</v>
      </c>
      <c r="B3" s="11" t="s">
        <v>40</v>
      </c>
      <c r="C3" s="4" t="s">
        <v>12</v>
      </c>
      <c r="D3" s="4" t="s">
        <v>8</v>
      </c>
      <c r="E3" s="7">
        <v>46002</v>
      </c>
      <c r="F3" s="6">
        <v>1295.8</v>
      </c>
      <c r="G3" s="6">
        <v>193618.7</v>
      </c>
      <c r="H3" s="4">
        <v>50.392299999999999</v>
      </c>
      <c r="I3" s="6">
        <f t="shared" ref="I3:I30" si="0">ROUND(F3*H3+G3,2)</f>
        <v>258917.04</v>
      </c>
      <c r="J3" s="6" t="s">
        <v>71</v>
      </c>
    </row>
    <row r="4" spans="1:12" x14ac:dyDescent="0.25">
      <c r="A4" s="8">
        <v>3</v>
      </c>
      <c r="B4" s="10" t="s">
        <v>41</v>
      </c>
      <c r="C4" s="1" t="s">
        <v>13</v>
      </c>
      <c r="D4" s="1" t="s">
        <v>9</v>
      </c>
      <c r="E4" s="2">
        <v>46037</v>
      </c>
      <c r="F4" s="3">
        <v>4809.08</v>
      </c>
      <c r="G4" s="3">
        <v>52253.18</v>
      </c>
      <c r="H4" s="1">
        <v>53.188600000000001</v>
      </c>
      <c r="I4" s="3">
        <f t="shared" si="0"/>
        <v>308041.40999999997</v>
      </c>
      <c r="J4" s="3" t="s">
        <v>72</v>
      </c>
    </row>
    <row r="5" spans="1:12" x14ac:dyDescent="0.25">
      <c r="A5" s="9">
        <v>4</v>
      </c>
      <c r="B5" s="11" t="s">
        <v>42</v>
      </c>
      <c r="C5" s="4" t="s">
        <v>14</v>
      </c>
      <c r="D5" s="4" t="s">
        <v>9</v>
      </c>
      <c r="E5" s="5">
        <v>46188</v>
      </c>
      <c r="F5" s="6">
        <v>4501.8</v>
      </c>
      <c r="G5" s="6">
        <v>492136.78</v>
      </c>
      <c r="H5" s="4">
        <v>51.169600000000003</v>
      </c>
      <c r="I5" s="6">
        <f t="shared" si="0"/>
        <v>722492.09</v>
      </c>
      <c r="J5" s="6" t="s">
        <v>71</v>
      </c>
    </row>
    <row r="6" spans="1:12" x14ac:dyDescent="0.25">
      <c r="A6" s="8">
        <v>5</v>
      </c>
      <c r="B6" s="10" t="s">
        <v>43</v>
      </c>
      <c r="C6" s="1" t="s">
        <v>15</v>
      </c>
      <c r="D6" s="1" t="s">
        <v>8</v>
      </c>
      <c r="E6" s="2">
        <v>46037</v>
      </c>
      <c r="F6" s="3">
        <v>522</v>
      </c>
      <c r="G6" s="3">
        <v>11068.75</v>
      </c>
      <c r="H6" s="1">
        <v>51.169600000000003</v>
      </c>
      <c r="I6" s="3">
        <f t="shared" si="0"/>
        <v>37779.279999999999</v>
      </c>
      <c r="J6" s="3" t="s">
        <v>70</v>
      </c>
    </row>
    <row r="7" spans="1:12" x14ac:dyDescent="0.25">
      <c r="A7" s="8">
        <v>6</v>
      </c>
      <c r="B7" s="10" t="s">
        <v>44</v>
      </c>
      <c r="C7" s="1" t="s">
        <v>16</v>
      </c>
      <c r="D7" s="1" t="s">
        <v>9</v>
      </c>
      <c r="E7" s="2">
        <v>45680</v>
      </c>
      <c r="F7" s="3">
        <v>4368</v>
      </c>
      <c r="G7" s="3">
        <v>0</v>
      </c>
      <c r="H7" s="1">
        <v>53.188600000000001</v>
      </c>
      <c r="I7" s="3">
        <f t="shared" si="0"/>
        <v>232327.8</v>
      </c>
      <c r="J7" s="3" t="s">
        <v>73</v>
      </c>
    </row>
    <row r="8" spans="1:12" x14ac:dyDescent="0.25">
      <c r="A8" s="9">
        <v>7</v>
      </c>
      <c r="B8" s="11" t="s">
        <v>45</v>
      </c>
      <c r="C8" s="4" t="s">
        <v>17</v>
      </c>
      <c r="D8" s="4" t="s">
        <v>8</v>
      </c>
      <c r="E8" s="7">
        <v>46049</v>
      </c>
      <c r="F8" s="6">
        <v>2569.84</v>
      </c>
      <c r="G8" s="6">
        <v>40583.06</v>
      </c>
      <c r="H8" s="4">
        <v>51.169600000000003</v>
      </c>
      <c r="I8" s="6">
        <f t="shared" si="0"/>
        <v>172080.74</v>
      </c>
      <c r="J8" s="6" t="s">
        <v>71</v>
      </c>
    </row>
    <row r="9" spans="1:12" x14ac:dyDescent="0.25">
      <c r="A9" s="9">
        <v>8</v>
      </c>
      <c r="B9" s="11" t="s">
        <v>46</v>
      </c>
      <c r="C9" s="4" t="s">
        <v>18</v>
      </c>
      <c r="D9" s="4" t="s">
        <v>8</v>
      </c>
      <c r="E9" s="7">
        <v>46072</v>
      </c>
      <c r="F9" s="6">
        <v>1184.71</v>
      </c>
      <c r="G9" s="6">
        <v>0</v>
      </c>
      <c r="H9" s="4">
        <v>51.169600000000003</v>
      </c>
      <c r="I9" s="6">
        <f t="shared" si="0"/>
        <v>60621.14</v>
      </c>
      <c r="J9" s="6" t="s">
        <v>71</v>
      </c>
    </row>
    <row r="10" spans="1:12" x14ac:dyDescent="0.25">
      <c r="A10" s="8">
        <v>9</v>
      </c>
      <c r="B10" s="10" t="s">
        <v>47</v>
      </c>
      <c r="C10" s="1" t="s">
        <v>19</v>
      </c>
      <c r="D10" s="1" t="s">
        <v>9</v>
      </c>
      <c r="E10" s="2">
        <v>46072</v>
      </c>
      <c r="F10" s="3">
        <v>0</v>
      </c>
      <c r="G10" s="3">
        <v>28500</v>
      </c>
      <c r="H10" s="1">
        <v>53.188600000000001</v>
      </c>
      <c r="I10" s="3">
        <f t="shared" si="0"/>
        <v>28500</v>
      </c>
      <c r="J10" s="3" t="s">
        <v>70</v>
      </c>
    </row>
    <row r="11" spans="1:12" x14ac:dyDescent="0.25">
      <c r="A11" s="8">
        <v>10</v>
      </c>
      <c r="B11" s="10" t="s">
        <v>48</v>
      </c>
      <c r="C11" s="1" t="s">
        <v>20</v>
      </c>
      <c r="D11" s="1" t="s">
        <v>8</v>
      </c>
      <c r="E11" s="2">
        <v>46084</v>
      </c>
      <c r="F11" s="3">
        <v>88.46</v>
      </c>
      <c r="G11" s="3">
        <v>165209.79999999999</v>
      </c>
      <c r="H11" s="1">
        <v>53.188600000000001</v>
      </c>
      <c r="I11" s="3">
        <f t="shared" si="0"/>
        <v>169914.86</v>
      </c>
      <c r="J11" s="3" t="s">
        <v>72</v>
      </c>
    </row>
    <row r="12" spans="1:12" x14ac:dyDescent="0.25">
      <c r="A12" s="8">
        <v>11</v>
      </c>
      <c r="B12" s="10" t="s">
        <v>49</v>
      </c>
      <c r="C12" s="1" t="s">
        <v>21</v>
      </c>
      <c r="D12" s="1" t="s">
        <v>8</v>
      </c>
      <c r="E12" s="2">
        <v>46084</v>
      </c>
      <c r="F12" s="3">
        <v>2616.92</v>
      </c>
      <c r="G12" s="3">
        <v>287338.63</v>
      </c>
      <c r="H12" s="1">
        <v>53.188600000000001</v>
      </c>
      <c r="I12" s="3">
        <f t="shared" si="0"/>
        <v>426528.94</v>
      </c>
      <c r="J12" s="3" t="s">
        <v>72</v>
      </c>
    </row>
    <row r="13" spans="1:12" x14ac:dyDescent="0.25">
      <c r="A13" s="8">
        <v>12</v>
      </c>
      <c r="B13" s="10" t="s">
        <v>50</v>
      </c>
      <c r="C13" s="1" t="s">
        <v>22</v>
      </c>
      <c r="D13" s="1" t="s">
        <v>8</v>
      </c>
      <c r="E13" s="2">
        <v>46084</v>
      </c>
      <c r="F13" s="3">
        <v>0</v>
      </c>
      <c r="G13" s="3">
        <v>78650.25</v>
      </c>
      <c r="H13" s="1">
        <v>53.188600000000001</v>
      </c>
      <c r="I13" s="3">
        <f t="shared" si="0"/>
        <v>78650.25</v>
      </c>
      <c r="J13" s="3" t="s">
        <v>73</v>
      </c>
    </row>
    <row r="14" spans="1:12" x14ac:dyDescent="0.25">
      <c r="A14" s="8">
        <v>13</v>
      </c>
      <c r="B14" s="10" t="s">
        <v>51</v>
      </c>
      <c r="C14" s="1" t="s">
        <v>75</v>
      </c>
      <c r="D14" s="1" t="s">
        <v>8</v>
      </c>
      <c r="E14" s="2">
        <v>46084</v>
      </c>
      <c r="F14" s="3">
        <v>31.09</v>
      </c>
      <c r="G14" s="3">
        <v>1966.99</v>
      </c>
      <c r="H14" s="1">
        <v>53.188600000000001</v>
      </c>
      <c r="I14" s="3">
        <f t="shared" si="0"/>
        <v>3620.62</v>
      </c>
      <c r="J14" s="3" t="s">
        <v>73</v>
      </c>
    </row>
    <row r="15" spans="1:12" x14ac:dyDescent="0.25">
      <c r="A15" s="8">
        <v>14</v>
      </c>
      <c r="B15" s="10" t="s">
        <v>52</v>
      </c>
      <c r="C15" s="1" t="s">
        <v>23</v>
      </c>
      <c r="D15" s="1" t="s">
        <v>8</v>
      </c>
      <c r="E15" s="2">
        <v>46084</v>
      </c>
      <c r="F15" s="3">
        <v>152.41</v>
      </c>
      <c r="G15" s="3">
        <v>25616.25</v>
      </c>
      <c r="H15" s="1">
        <v>53.188600000000001</v>
      </c>
      <c r="I15" s="3">
        <f t="shared" si="0"/>
        <v>33722.720000000001</v>
      </c>
      <c r="J15" s="3" t="s">
        <v>72</v>
      </c>
    </row>
    <row r="16" spans="1:12" x14ac:dyDescent="0.25">
      <c r="A16" s="8">
        <v>15</v>
      </c>
      <c r="B16" s="10" t="s">
        <v>53</v>
      </c>
      <c r="C16" s="1" t="s">
        <v>24</v>
      </c>
      <c r="D16" s="1" t="s">
        <v>8</v>
      </c>
      <c r="E16" s="2">
        <v>46084</v>
      </c>
      <c r="F16" s="3">
        <v>3853.56</v>
      </c>
      <c r="G16" s="3">
        <v>785561.48</v>
      </c>
      <c r="H16" s="1">
        <v>53.188600000000001</v>
      </c>
      <c r="I16" s="3">
        <f t="shared" si="0"/>
        <v>990526.94</v>
      </c>
      <c r="J16" s="3" t="s">
        <v>72</v>
      </c>
    </row>
    <row r="17" spans="1:10" x14ac:dyDescent="0.25">
      <c r="A17" s="8">
        <v>16</v>
      </c>
      <c r="B17" s="10" t="s">
        <v>54</v>
      </c>
      <c r="C17" s="1" t="s">
        <v>25</v>
      </c>
      <c r="D17" s="1" t="s">
        <v>8</v>
      </c>
      <c r="E17" s="2">
        <v>46084</v>
      </c>
      <c r="F17" s="3">
        <v>2302.21</v>
      </c>
      <c r="G17" s="3">
        <v>53568</v>
      </c>
      <c r="H17" s="1">
        <v>53.188600000000001</v>
      </c>
      <c r="I17" s="3">
        <f t="shared" si="0"/>
        <v>176019.33</v>
      </c>
      <c r="J17" s="3" t="s">
        <v>73</v>
      </c>
    </row>
    <row r="18" spans="1:10" x14ac:dyDescent="0.25">
      <c r="A18" s="9">
        <v>17</v>
      </c>
      <c r="B18" s="11" t="s">
        <v>55</v>
      </c>
      <c r="C18" s="4" t="s">
        <v>26</v>
      </c>
      <c r="D18" s="4" t="s">
        <v>9</v>
      </c>
      <c r="E18" s="7">
        <v>46107</v>
      </c>
      <c r="F18" s="6">
        <v>19937.84</v>
      </c>
      <c r="G18" s="6">
        <v>706014.85</v>
      </c>
      <c r="H18" s="4"/>
      <c r="I18" s="6">
        <f t="shared" si="0"/>
        <v>706014.85</v>
      </c>
      <c r="J18" s="6" t="s">
        <v>71</v>
      </c>
    </row>
    <row r="19" spans="1:10" x14ac:dyDescent="0.25">
      <c r="A19" s="8">
        <v>18</v>
      </c>
      <c r="B19" s="10" t="s">
        <v>56</v>
      </c>
      <c r="C19" s="1" t="s">
        <v>27</v>
      </c>
      <c r="D19" s="1" t="s">
        <v>8</v>
      </c>
      <c r="E19" s="2">
        <v>46107</v>
      </c>
      <c r="F19" s="3">
        <v>847.32</v>
      </c>
      <c r="G19" s="3">
        <v>63980</v>
      </c>
      <c r="H19" s="1">
        <v>53.188600000000001</v>
      </c>
      <c r="I19" s="3">
        <f t="shared" si="0"/>
        <v>109047.76</v>
      </c>
      <c r="J19" s="3" t="s">
        <v>74</v>
      </c>
    </row>
    <row r="20" spans="1:10" x14ac:dyDescent="0.25">
      <c r="A20" s="9">
        <v>19</v>
      </c>
      <c r="B20" s="11" t="s">
        <v>57</v>
      </c>
      <c r="C20" s="4" t="s">
        <v>28</v>
      </c>
      <c r="D20" s="4" t="s">
        <v>8</v>
      </c>
      <c r="E20" s="7">
        <v>46107</v>
      </c>
      <c r="F20" s="6">
        <v>935.7</v>
      </c>
      <c r="G20" s="6">
        <v>40000</v>
      </c>
      <c r="H20" s="4">
        <v>53.188600000000001</v>
      </c>
      <c r="I20" s="6">
        <f t="shared" si="0"/>
        <v>89768.57</v>
      </c>
      <c r="J20" s="6" t="s">
        <v>71</v>
      </c>
    </row>
    <row r="21" spans="1:10" x14ac:dyDescent="0.25">
      <c r="A21" s="8">
        <v>20</v>
      </c>
      <c r="B21" s="10" t="s">
        <v>58</v>
      </c>
      <c r="C21" s="1" t="s">
        <v>29</v>
      </c>
      <c r="D21" s="1" t="s">
        <v>8</v>
      </c>
      <c r="E21" s="2">
        <v>46107</v>
      </c>
      <c r="F21" s="3">
        <v>3711.09</v>
      </c>
      <c r="G21" s="3">
        <v>732793.71</v>
      </c>
      <c r="H21" s="1">
        <v>53.188600000000001</v>
      </c>
      <c r="I21" s="3">
        <f t="shared" si="0"/>
        <v>930181.39</v>
      </c>
      <c r="J21" s="3" t="s">
        <v>74</v>
      </c>
    </row>
    <row r="22" spans="1:10" x14ac:dyDescent="0.25">
      <c r="A22" s="8">
        <v>21</v>
      </c>
      <c r="B22" s="10" t="s">
        <v>59</v>
      </c>
      <c r="C22" s="1" t="s">
        <v>30</v>
      </c>
      <c r="D22" s="1" t="s">
        <v>8</v>
      </c>
      <c r="E22" s="2">
        <v>46188</v>
      </c>
      <c r="F22" s="3">
        <v>2969.56</v>
      </c>
      <c r="G22" s="3">
        <v>207475.35</v>
      </c>
      <c r="H22" s="1">
        <v>55.188600000000001</v>
      </c>
      <c r="I22" s="3">
        <f t="shared" si="0"/>
        <v>371361.21</v>
      </c>
      <c r="J22" s="3" t="s">
        <v>74</v>
      </c>
    </row>
    <row r="23" spans="1:10" x14ac:dyDescent="0.25">
      <c r="A23" s="8">
        <v>22</v>
      </c>
      <c r="B23" s="10" t="s">
        <v>60</v>
      </c>
      <c r="C23" s="1" t="s">
        <v>31</v>
      </c>
      <c r="D23" s="1" t="s">
        <v>10</v>
      </c>
      <c r="E23" s="2">
        <v>46188</v>
      </c>
      <c r="F23" s="3">
        <v>754.08</v>
      </c>
      <c r="G23" s="3">
        <v>14492.42</v>
      </c>
      <c r="H23" s="1">
        <v>53.188600000000001</v>
      </c>
      <c r="I23" s="3">
        <f t="shared" si="0"/>
        <v>54600.88</v>
      </c>
      <c r="J23" s="3" t="s">
        <v>74</v>
      </c>
    </row>
    <row r="24" spans="1:10" x14ac:dyDescent="0.25">
      <c r="A24" s="8">
        <v>23</v>
      </c>
      <c r="B24" s="10" t="s">
        <v>61</v>
      </c>
      <c r="C24" s="1" t="s">
        <v>32</v>
      </c>
      <c r="D24" s="1" t="s">
        <v>10</v>
      </c>
      <c r="E24" s="2">
        <v>46188</v>
      </c>
      <c r="F24" s="3">
        <v>0</v>
      </c>
      <c r="G24" s="3">
        <v>28500</v>
      </c>
      <c r="H24" s="1">
        <v>53.188600000000001</v>
      </c>
      <c r="I24" s="3">
        <f t="shared" si="0"/>
        <v>28500</v>
      </c>
      <c r="J24" s="3" t="s">
        <v>74</v>
      </c>
    </row>
    <row r="25" spans="1:10" x14ac:dyDescent="0.25">
      <c r="A25" s="8">
        <v>24</v>
      </c>
      <c r="B25" s="10" t="s">
        <v>62</v>
      </c>
      <c r="C25" s="1" t="s">
        <v>33</v>
      </c>
      <c r="D25" s="1" t="s">
        <v>10</v>
      </c>
      <c r="E25" s="2">
        <v>46188</v>
      </c>
      <c r="F25" s="3">
        <v>0</v>
      </c>
      <c r="G25" s="3">
        <v>26485</v>
      </c>
      <c r="H25" s="1">
        <v>53.188600000000001</v>
      </c>
      <c r="I25" s="3">
        <f t="shared" si="0"/>
        <v>26485</v>
      </c>
      <c r="J25" s="3" t="s">
        <v>74</v>
      </c>
    </row>
    <row r="26" spans="1:10" x14ac:dyDescent="0.25">
      <c r="A26" s="8">
        <v>25</v>
      </c>
      <c r="B26" s="10" t="s">
        <v>63</v>
      </c>
      <c r="C26" s="1" t="s">
        <v>34</v>
      </c>
      <c r="D26" s="1" t="s">
        <v>10</v>
      </c>
      <c r="E26" s="2">
        <v>46188</v>
      </c>
      <c r="F26" s="3">
        <v>0</v>
      </c>
      <c r="G26" s="3">
        <v>48450</v>
      </c>
      <c r="H26" s="1">
        <v>53.188600000000001</v>
      </c>
      <c r="I26" s="3">
        <f t="shared" si="0"/>
        <v>48450</v>
      </c>
      <c r="J26" s="3" t="s">
        <v>74</v>
      </c>
    </row>
    <row r="27" spans="1:10" x14ac:dyDescent="0.25">
      <c r="A27" s="8">
        <v>26</v>
      </c>
      <c r="B27" s="10" t="s">
        <v>64</v>
      </c>
      <c r="C27" s="1" t="s">
        <v>35</v>
      </c>
      <c r="D27" s="1" t="s">
        <v>10</v>
      </c>
      <c r="E27" s="2">
        <v>46188</v>
      </c>
      <c r="F27" s="3">
        <v>118.24</v>
      </c>
      <c r="G27" s="3">
        <v>54208.04</v>
      </c>
      <c r="H27" s="1">
        <v>53.188600000000001</v>
      </c>
      <c r="I27" s="3">
        <f t="shared" si="0"/>
        <v>60497.06</v>
      </c>
      <c r="J27" s="3" t="s">
        <v>74</v>
      </c>
    </row>
    <row r="28" spans="1:10" x14ac:dyDescent="0.25">
      <c r="A28" s="8">
        <v>27</v>
      </c>
      <c r="B28" s="10" t="s">
        <v>65</v>
      </c>
      <c r="C28" s="1" t="s">
        <v>36</v>
      </c>
      <c r="D28" s="1" t="s">
        <v>9</v>
      </c>
      <c r="E28" s="2">
        <v>46188</v>
      </c>
      <c r="F28" s="3">
        <v>277.64999999999998</v>
      </c>
      <c r="G28" s="3">
        <v>94014.56</v>
      </c>
      <c r="H28" s="1">
        <v>53.188600000000001</v>
      </c>
      <c r="I28" s="3">
        <f t="shared" si="0"/>
        <v>108782.37</v>
      </c>
      <c r="J28" s="3" t="s">
        <v>74</v>
      </c>
    </row>
    <row r="29" spans="1:10" x14ac:dyDescent="0.25">
      <c r="A29" s="8">
        <v>28</v>
      </c>
      <c r="B29" s="10" t="s">
        <v>66</v>
      </c>
      <c r="C29" s="1" t="s">
        <v>37</v>
      </c>
      <c r="D29" s="1" t="s">
        <v>9</v>
      </c>
      <c r="E29" s="2">
        <v>46188</v>
      </c>
      <c r="F29" s="3">
        <v>0</v>
      </c>
      <c r="G29" s="3">
        <v>90661.17</v>
      </c>
      <c r="H29" s="1">
        <v>53.188600000000001</v>
      </c>
      <c r="I29" s="3">
        <f t="shared" si="0"/>
        <v>90661.17</v>
      </c>
      <c r="J29" s="3" t="s">
        <v>74</v>
      </c>
    </row>
    <row r="30" spans="1:10" x14ac:dyDescent="0.25">
      <c r="A30" s="8">
        <v>29</v>
      </c>
      <c r="B30" s="10" t="s">
        <v>67</v>
      </c>
      <c r="C30" s="1" t="s">
        <v>38</v>
      </c>
      <c r="D30" s="1" t="s">
        <v>9</v>
      </c>
      <c r="E30" s="2">
        <v>46188</v>
      </c>
      <c r="F30" s="3">
        <v>0</v>
      </c>
      <c r="G30" s="3">
        <v>60000</v>
      </c>
      <c r="H30" s="1">
        <v>53.188600000000001</v>
      </c>
      <c r="I30" s="3">
        <f t="shared" si="0"/>
        <v>60000</v>
      </c>
      <c r="J30" s="3" t="s">
        <v>74</v>
      </c>
    </row>
  </sheetData>
  <phoneticPr fontId="5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portToHTMLData">
                <anchor moveWithCells="1">
                  <from>
                    <xdr:col>10</xdr:col>
                    <xdr:colOff>409575</xdr:colOff>
                    <xdr:row>3</xdr:row>
                    <xdr:rowOff>142875</xdr:rowOff>
                  </from>
                  <to>
                    <xdr:col>12</xdr:col>
                    <xdr:colOff>333375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1</vt:i4>
      </vt:variant>
    </vt:vector>
  </HeadingPairs>
  <TitlesOfParts>
    <vt:vector size="1" baseType="lpstr">
      <vt:lpstr>Sayfa1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Deniz Aşar</dc:creator>
  <cp:lastModifiedBy>Deniz Aşar</cp:lastModifiedBy>
  <dcterms:created xsi:type="dcterms:W3CDTF">2026-07-13T12:59:33Z</dcterms:created>
  <dcterms:modified xsi:type="dcterms:W3CDTF">2026-07-30T09:43:36Z</dcterms:modified>
</cp:coreProperties>
</file>